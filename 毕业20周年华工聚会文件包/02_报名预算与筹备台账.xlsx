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1de968ac7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" sheetId="1" r:id="Rf824334616c54b8b"/>
    <x:sheet xmlns:r="http://schemas.openxmlformats.org/officeDocument/2006/relationships" name="报名名单" sheetId="2" r:id="R75367a6f54a245b4"/>
    <x:sheet xmlns:r="http://schemas.openxmlformats.org/officeDocument/2006/relationships" name="筹备清单" sheetId="3" r:id="R4d748c0e3d764a42"/>
    <x:sheet xmlns:r="http://schemas.openxmlformats.org/officeDocument/2006/relationships" name="场地供应商" sheetId="4" r:id="R2d53e89927f544d1"/>
    <x:sheet xmlns:r="http://schemas.openxmlformats.org/officeDocument/2006/relationships" name="总览" sheetId="5" r:id="Rd8be3b2c2e27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b/>
      <x:sz val="11"/>
      <x:name val="Microsoft YaHei"/>
    </x:font>
    <x:font>
      <x:b/>
      <x:sz val="11"/>
      <x:color rgb="FFFFFFFF"/>
      <x:name val="Microsoft YaHei"/>
    </x:font>
    <x:font>
      <x:sz val="10"/>
      <x:color rgb="FF222222"/>
      <x:name val="Microsoft YaHei"/>
    </x:font>
    <x:font>
      <x:b/>
      <x:sz val="10"/>
      <x:color rgb="FF17365D"/>
      <x:name val="Microsoft YaHei"/>
    </x:font>
    <x:font>
      <x:i/>
      <x:sz val="11"/>
      <x:color rgb="FF7A5A00"/>
      <x:name val="Microsoft YaHei"/>
    </x:font>
    <x:font>
      <x:sz val="11"/>
      <x:name val="Microsoft YaHei"/>
    </x:font>
    <x:font>
      <x:sz val="11"/>
      <x:color rgb="FF7A5A00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FF8E8"/>
      </x:patternFill>
    </x:fill>
    <x:fill>
      <x:patternFill patternType="solid">
        <x:fgColor rgb="FFFFFDF2"/>
      </x:patternFill>
    </x:fill>
    <x:fill>
      <x:patternFill patternType="solid">
        <x:fgColor rgb="FFF0F7FF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200" fontId="5" fillId="8" borderId="1" xfId="0" applyNumberFormat="1" applyFont="1" applyFill="1" applyBorder="1" applyAlignment="1">
      <x:alignment vertical="center" wrapText="1"/>
    </x:xf>
    <x:xf numFmtId="200" fontId="5" fillId="9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/>
    </x:xf>
    <x:xf numFmtId="200" fontId="2" fillId="9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C5221F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be6c0112c4765" /><Relationship Type="http://schemas.openxmlformats.org/officeDocument/2006/relationships/theme" Target="/xl/theme/theme1.xml" Id="R9879ffcd26644e9c" /><Relationship Type="http://schemas.openxmlformats.org/officeDocument/2006/relationships/sharedStrings" Target="/xl/sharedStrings.xml" Id="Reeed1b26c5f54043" /><Relationship Type="http://schemas.openxmlformats.org/officeDocument/2006/relationships/worksheet" Target="/xl/worksheets/sheet1.xml" Id="Rf824334616c54b8b" /><Relationship Type="http://schemas.openxmlformats.org/officeDocument/2006/relationships/worksheet" Target="/xl/worksheets/sheet2.xml" Id="R75367a6f54a245b4" /><Relationship Type="http://schemas.openxmlformats.org/officeDocument/2006/relationships/worksheet" Target="/xl/worksheets/sheet3.xml" Id="R4d748c0e3d764a42" /><Relationship Type="http://schemas.openxmlformats.org/officeDocument/2006/relationships/worksheet" Target="/xl/worksheets/sheet4.xml" Id="R2d53e89927f544d1" /><Relationship Type="http://schemas.openxmlformats.org/officeDocument/2006/relationships/worksheet" Target="/xl/worksheets/sheet5.xml" Id="Rd8be3b2c2e2748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</x:cols>
  <x:sheetData>
    <x:row r="1" ht="30" customHeight="1">
      <x:c r="A1" s="4" t="str">
        <x:v>华工毕业20周年聚会｜预算与实际结算</x:v>
      </x:c>
      <x:c r="B1" s="4"/>
      <x:c r="C1" s="4"/>
      <x:c r="D1" s="4"/>
      <x:c r="E1" s="4"/>
      <x:c r="F1" s="4"/>
    </x:row>
    <x:row r="3" ht="22" customHeight="1">
      <x:c r="A3" s="7" t="str">
        <x:v>基础参数（可修改黄色单元格）</x:v>
      </x:c>
      <x:c r="B3" s="7"/>
      <x:c r="C3" s="7"/>
      <x:c r="D3" s="7"/>
      <x:c r="E3" s="7"/>
      <x:c r="F3" s="7"/>
    </x:row>
    <x:row r="4">
      <x:c r="A4" s="10" t="str">
        <x:v>预计人数</x:v>
      </x:c>
      <x:c r="B4" s="14" t="n">
        <x:v>40</x:v>
      </x:c>
    </x:row>
    <x:row r="5">
      <x:c r="A5" s="10" t="str">
        <x:v>标准收费/人（元）</x:v>
      </x:c>
      <x:c r="B5" s="14" t="n">
        <x:v>845</x:v>
      </x:c>
    </x:row>
    <x:row r="6">
      <x:c r="A6" s="10" t="str">
        <x:v>定金/人（元）</x:v>
      </x:c>
      <x:c r="B6" s="14" t="n">
        <x:v>500</x:v>
      </x:c>
    </x:row>
    <x:row r="7">
      <x:c r="A7" s="10" t="str">
        <x:v>单人房差价（元）</x:v>
      </x:c>
      <x:c r="B7" s="14" t="n">
        <x:v>230</x:v>
      </x:c>
    </x:row>
    <x:row r="9" ht="22" customHeight="1">
      <x:c r="A9" s="7" t="str">
        <x:v>标准方案预算（按双人拼住测算）</x:v>
      </x:c>
      <x:c r="B9" s="7"/>
      <x:c r="C9" s="7"/>
      <x:c r="D9" s="7"/>
      <x:c r="E9" s="7"/>
      <x:c r="F9" s="7"/>
    </x:row>
    <x:row r="10" ht="32" customHeight="1">
      <x:c r="A10" s="20" t="str">
        <x:v>项目</x:v>
      </x:c>
      <x:c r="B10" s="20" t="str">
        <x:v>人均预算</x:v>
      </x:c>
      <x:c r="C10" s="20" t="str">
        <x:v>预算人数</x:v>
      </x:c>
      <x:c r="D10" s="20" t="str">
        <x:v>预算总额</x:v>
      </x:c>
      <x:c r="E10" s="20" t="str">
        <x:v>实际总额</x:v>
      </x:c>
      <x:c r="F10" s="20" t="str">
        <x:v>差异</x:v>
      </x:c>
    </x:row>
    <x:row r="11">
      <x:c r="A11" s="24" t="str">
        <x:v>双人拼住一晚（含早）</x:v>
      </x:c>
      <x:c r="B11" s="27" t="n">
        <x:v>235</x:v>
      </x:c>
      <x:c r="C11" s="27" t="n">
        <x:f>$B$4</x:f>
        <x:v>40</x:v>
      </x:c>
      <x:c r="D11" s="27" t="n">
        <x:f>B11*C11</x:f>
        <x:v>9400</x:v>
      </x:c>
      <x:c r="E11" s="29" t="n">
        <x:v>0</x:v>
      </x:c>
      <x:c r="F11" s="27" t="n">
        <x:f>E11-D11</x:f>
        <x:v>-9400</x:v>
      </x:c>
    </x:row>
    <x:row r="12">
      <x:c r="A12" s="24" t="str">
        <x:v>校园/会务场地及设备</x:v>
      </x:c>
      <x:c r="B12" s="27" t="n">
        <x:v>40</x:v>
      </x:c>
      <x:c r="C12" s="27" t="n">
        <x:f>$B$4</x:f>
        <x:v>40</x:v>
      </x:c>
      <x:c r="D12" s="27" t="n">
        <x:f>B12*C12</x:f>
        <x:v>1600</x:v>
      </x:c>
      <x:c r="E12" s="29" t="n">
        <x:v>0</x:v>
      </x:c>
      <x:c r="F12" s="27" t="n">
        <x:f>E12-D12</x:f>
        <x:v>-1600</x:v>
      </x:c>
    </x:row>
    <x:row r="13">
      <x:c r="A13" s="24" t="str">
        <x:v>首日午餐</x:v>
      </x:c>
      <x:c r="B13" s="27" t="n">
        <x:v>55</x:v>
      </x:c>
      <x:c r="C13" s="27" t="n">
        <x:f>$B$4</x:f>
        <x:v>40</x:v>
      </x:c>
      <x:c r="D13" s="27" t="n">
        <x:f>B13*C13</x:f>
        <x:v>2200</x:v>
      </x:c>
      <x:c r="E13" s="29" t="n">
        <x:v>0</x:v>
      </x:c>
      <x:c r="F13" s="27" t="n">
        <x:f>E13-D13</x:f>
        <x:v>-2200</x:v>
      </x:c>
    </x:row>
    <x:row r="14">
      <x:c r="A14" s="24" t="str">
        <x:v>茶歇、饮水、夜话轻食</x:v>
      </x:c>
      <x:c r="B14" s="27" t="n">
        <x:v>35</x:v>
      </x:c>
      <x:c r="C14" s="27" t="n">
        <x:f>$B$4</x:f>
        <x:v>40</x:v>
      </x:c>
      <x:c r="D14" s="27" t="n">
        <x:f>B14*C14</x:f>
        <x:v>1400</x:v>
      </x:c>
      <x:c r="E14" s="29" t="n">
        <x:v>0</x:v>
      </x:c>
      <x:c r="F14" s="27" t="n">
        <x:f>E14-D14</x:f>
        <x:v>-1400</x:v>
      </x:c>
    </x:row>
    <x:row r="15">
      <x:c r="A15" s="24" t="str">
        <x:v>20周年正式晚宴</x:v>
      </x:c>
      <x:c r="B15" s="27" t="n">
        <x:v>230</x:v>
      </x:c>
      <x:c r="C15" s="27" t="n">
        <x:f>$B$4</x:f>
        <x:v>40</x:v>
      </x:c>
      <x:c r="D15" s="27" t="n">
        <x:f>B15*C15</x:f>
        <x:v>9200</x:v>
      </x:c>
      <x:c r="E15" s="29" t="n">
        <x:v>0</x:v>
      </x:c>
      <x:c r="F15" s="27" t="n">
        <x:f>E15-D15</x:f>
        <x:v>-9200</x:v>
      </x:c>
    </x:row>
    <x:row r="16">
      <x:c r="A16" s="24" t="str">
        <x:v>次日送别午餐</x:v>
      </x:c>
      <x:c r="B16" s="27" t="n">
        <x:v>95</x:v>
      </x:c>
      <x:c r="C16" s="27" t="n">
        <x:f>$B$4</x:f>
        <x:v>40</x:v>
      </x:c>
      <x:c r="D16" s="27" t="n">
        <x:f>B16*C16</x:f>
        <x:v>3800</x:v>
      </x:c>
      <x:c r="E16" s="29" t="n">
        <x:v>0</x:v>
      </x:c>
      <x:c r="F16" s="27" t="n">
        <x:f>E16-D16</x:f>
        <x:v>-3800</x:v>
      </x:c>
    </x:row>
    <x:row r="17">
      <x:c r="A17" s="24" t="str">
        <x:v>影像、纪念物料</x:v>
      </x:c>
      <x:c r="B17" s="27" t="n">
        <x:v>75</x:v>
      </x:c>
      <x:c r="C17" s="27" t="n">
        <x:f>$B$4</x:f>
        <x:v>40</x:v>
      </x:c>
      <x:c r="D17" s="27" t="n">
        <x:f>B17*C17</x:f>
        <x:v>3000</x:v>
      </x:c>
      <x:c r="E17" s="29" t="n">
        <x:v>0</x:v>
      </x:c>
      <x:c r="F17" s="27" t="n">
        <x:f>E17-D17</x:f>
        <x:v>-3000</x:v>
      </x:c>
    </x:row>
    <x:row r="18">
      <x:c r="A18" s="24" t="str">
        <x:v>保险、接驳与机动</x:v>
      </x:c>
      <x:c r="B18" s="27" t="n">
        <x:v>80</x:v>
      </x:c>
      <x:c r="C18" s="27" t="n">
        <x:f>$B$4</x:f>
        <x:v>40</x:v>
      </x:c>
      <x:c r="D18" s="27" t="n">
        <x:f>B18*C18</x:f>
        <x:v>3200</x:v>
      </x:c>
      <x:c r="E18" s="29" t="n">
        <x:v>0</x:v>
      </x:c>
      <x:c r="F18" s="27" t="n">
        <x:f>E18-D18</x:f>
        <x:v>-3200</x:v>
      </x:c>
    </x:row>
    <x:row r="19">
      <x:c r="A19" s="26" t="str">
        <x:v>合计</x:v>
      </x:c>
      <x:c r="B19" s="28" t="str"/>
      <x:c r="C19" s="28" t="str"/>
      <x:c r="D19" s="28" t="n">
        <x:f>SUM(D11:D18)</x:f>
        <x:v>33800</x:v>
      </x:c>
      <x:c r="E19" s="28" t="n">
        <x:f>SUM(E11:E18)</x:f>
        <x:v>0</x:v>
      </x:c>
      <x:c r="F19" s="28" t="n">
        <x:f>SUM(F11:F18)</x:f>
        <x:v>-33800</x:v>
      </x:c>
    </x:row>
    <x:row r="21" ht="38" customHeight="1">
      <x:c r="A21" s="33" t="str">
        <x:v>填写方式：先用“预算”作为收款基准；活动前将各项目最终合同金额填入“实际总额”，差异会自动计算。单人房差价和个人交通不放入标准方案。</x:v>
      </x:c>
      <x:c r="B21" s="33"/>
      <x:c r="C21" s="33"/>
      <x:c r="D21" s="33"/>
      <x:c r="E21" s="33"/>
      <x:c r="F21" s="33"/>
    </x:row>
    <x:row r="22" ht="38" customHeight="1">
      <x:c r="A22" s="33"/>
      <x:c r="B22" s="33"/>
      <x:c r="C22" s="33"/>
      <x:c r="D22" s="33"/>
      <x:c r="E22" s="33"/>
      <x:c r="F22" s="33"/>
    </x:row>
  </x:sheetData>
  <x:mergeCells>
    <x:mergeCell ref="A1:F1"/>
    <x:mergeCell ref="A3:F3"/>
    <x:mergeCell ref="A9:F9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13" hidden="0" customWidth="1"/>
    <x:col min="9" max="9" width="14" hidden="0" customWidth="1"/>
    <x:col min="10" max="10" width="12" hidden="0" customWidth="1"/>
    <x:col min="11" max="11" width="17" hidden="0" customWidth="1"/>
    <x:col min="12" max="12" width="21" hidden="0" customWidth="1"/>
    <x:col min="13" max="13" width="17" hidden="0" customWidth="1"/>
    <x:col min="14" max="14" width="17" hidden="0" customWidth="1"/>
    <x:col min="15" max="15" width="13" hidden="0" customWidth="1"/>
    <x:col min="16" max="16" width="13" hidden="0" customWidth="1"/>
    <x:col min="17" max="17" width="11" hidden="0" customWidth="1"/>
    <x:col min="18" max="18" width="18" hidden="0" customWidth="1"/>
  </x:cols>
  <x:sheetData>
    <x:row r="1" ht="30" customHeight="1">
      <x:c r="A1" s="4" t="str">
        <x:v>华工毕业20周年聚会｜报名、住宿与收款台账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 ht="38" customHeight="1">
      <x:c r="A3" s="33" t="str">
        <x:v>填写提示：仅筹委会维护本表。身份证等敏感信息不要在本表或微信群收集；如校方确有需要，应由专人单独、加密收集。黄色列为需要人工填写/更新的字段。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</x:row>
    <x:row r="4" ht="38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6" ht="32" customHeight="1">
      <x:c r="A6" s="20" t="str">
        <x:v>序号</x:v>
      </x:c>
      <x:c r="B6" s="20" t="str">
        <x:v>姓名</x:v>
      </x:c>
      <x:c r="C6" s="20" t="str">
        <x:v>原班级/学号</x:v>
      </x:c>
      <x:c r="D6" s="20" t="str">
        <x:v>现居城市</x:v>
      </x:c>
      <x:c r="E6" s="20" t="str">
        <x:v>手机号</x:v>
      </x:c>
      <x:c r="F6" s="20" t="str">
        <x:v>是否携家属</x:v>
      </x:c>
      <x:c r="G6" s="20" t="str">
        <x:v>是否参会</x:v>
      </x:c>
      <x:c r="H6" s="20" t="str">
        <x:v>住宿选择</x:v>
      </x:c>
      <x:c r="I6" s="20" t="str">
        <x:v>室友偏好</x:v>
      </x:c>
      <x:c r="J6" s="20" t="str">
        <x:v>电子校友卡</x:v>
      </x:c>
      <x:c r="K6" s="20" t="str">
        <x:v>是否驾车/车牌</x:v>
      </x:c>
      <x:c r="L6" s="20" t="str">
        <x:v>饮食或协助事项</x:v>
      </x:c>
      <x:c r="M6" s="20" t="str">
        <x:v>抵达时间</x:v>
      </x:c>
      <x:c r="N6" s="20" t="str">
        <x:v>离开时间</x:v>
      </x:c>
      <x:c r="O6" s="20" t="str">
        <x:v>缴款金额</x:v>
      </x:c>
      <x:c r="P6" s="20" t="str">
        <x:v>应收金额</x:v>
      </x:c>
      <x:c r="Q6" s="20" t="str">
        <x:v>差额</x:v>
      </x:c>
      <x:c r="R6" s="20" t="str">
        <x:v>备注</x:v>
      </x:c>
    </x:row>
    <x:row r="7">
      <x:c r="A7" s="35" t="str">
        <x:f>IF(B7="","",ROW()-6)</x:f>
      </x:c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7"/>
      <x:c r="P7" s="38" t="str">
        <x:f>IF(B7="","",'预算'!$B$5+IF(H7="单人房",'预算'!$B$7,0))</x:f>
      </x:c>
      <x:c r="Q7" s="38" t="str">
        <x:f>IF(B7="","",O7-P7)</x:f>
      </x:c>
      <x:c r="R7" s="24"/>
    </x:row>
    <x:row r="8">
      <x:c r="A8" s="35" t="str">
        <x:f>IF(B8="","",ROW()-6)</x:f>
      </x:c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7"/>
      <x:c r="P8" s="38" t="str">
        <x:f>IF(B8="","",'预算'!$B$5+IF(H8="单人房",'预算'!$B$7,0))</x:f>
      </x:c>
      <x:c r="Q8" s="38" t="str">
        <x:f>IF(B8="","",O8-P8)</x:f>
      </x:c>
      <x:c r="R8" s="24"/>
    </x:row>
    <x:row r="9">
      <x:c r="A9" s="35" t="str">
        <x:f>IF(B9="","",ROW()-6)</x:f>
      </x:c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7"/>
      <x:c r="P9" s="38" t="str">
        <x:f>IF(B9="","",'预算'!$B$5+IF(H9="单人房",'预算'!$B$7,0))</x:f>
      </x:c>
      <x:c r="Q9" s="38" t="str">
        <x:f>IF(B9="","",O9-P9)</x:f>
      </x:c>
      <x:c r="R9" s="24"/>
    </x:row>
    <x:row r="10">
      <x:c r="A10" s="35" t="str">
        <x:f>IF(B10="","",ROW()-6)</x:f>
      </x:c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7"/>
      <x:c r="P10" s="38" t="str">
        <x:f>IF(B10="","",'预算'!$B$5+IF(H10="单人房",'预算'!$B$7,0))</x:f>
      </x:c>
      <x:c r="Q10" s="38" t="str">
        <x:f>IF(B10="","",O10-P10)</x:f>
      </x:c>
      <x:c r="R10" s="24"/>
    </x:row>
    <x:row r="11">
      <x:c r="A11" s="35" t="str">
        <x:f>IF(B11="","",ROW()-6)</x:f>
      </x:c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7"/>
      <x:c r="P11" s="38" t="str">
        <x:f>IF(B11="","",'预算'!$B$5+IF(H11="单人房",'预算'!$B$7,0))</x:f>
      </x:c>
      <x:c r="Q11" s="38" t="str">
        <x:f>IF(B11="","",O11-P11)</x:f>
      </x:c>
      <x:c r="R11" s="24"/>
    </x:row>
    <x:row r="12">
      <x:c r="A12" s="35" t="str">
        <x:f>IF(B12="","",ROW()-6)</x:f>
      </x:c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7"/>
      <x:c r="P12" s="38" t="str">
        <x:f>IF(B12="","",'预算'!$B$5+IF(H12="单人房",'预算'!$B$7,0))</x:f>
      </x:c>
      <x:c r="Q12" s="38" t="str">
        <x:f>IF(B12="","",O12-P12)</x:f>
      </x:c>
      <x:c r="R12" s="24"/>
    </x:row>
    <x:row r="13">
      <x:c r="A13" s="35" t="str">
        <x:f>IF(B13="","",ROW()-6)</x:f>
      </x:c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7"/>
      <x:c r="P13" s="38" t="str">
        <x:f>IF(B13="","",'预算'!$B$5+IF(H13="单人房",'预算'!$B$7,0))</x:f>
      </x:c>
      <x:c r="Q13" s="38" t="str">
        <x:f>IF(B13="","",O13-P13)</x:f>
      </x:c>
      <x:c r="R13" s="24"/>
    </x:row>
    <x:row r="14">
      <x:c r="A14" s="35" t="str">
        <x:f>IF(B14="","",ROW()-6)</x:f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7"/>
      <x:c r="P14" s="38" t="str">
        <x:f>IF(B14="","",'预算'!$B$5+IF(H14="单人房",'预算'!$B$7,0))</x:f>
      </x:c>
      <x:c r="Q14" s="38" t="str">
        <x:f>IF(B14="","",O14-P14)</x:f>
      </x:c>
      <x:c r="R14" s="24"/>
    </x:row>
    <x:row r="15">
      <x:c r="A15" s="35" t="str">
        <x:f>IF(B15="","",ROW()-6)</x:f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7"/>
      <x:c r="P15" s="38" t="str">
        <x:f>IF(B15="","",'预算'!$B$5+IF(H15="单人房",'预算'!$B$7,0))</x:f>
      </x:c>
      <x:c r="Q15" s="38" t="str">
        <x:f>IF(B15="","",O15-P15)</x:f>
      </x:c>
      <x:c r="R15" s="24"/>
    </x:row>
    <x:row r="16">
      <x:c r="A16" s="35" t="str">
        <x:f>IF(B16="","",ROW()-6)</x:f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7"/>
      <x:c r="P16" s="38" t="str">
        <x:f>IF(B16="","",'预算'!$B$5+IF(H16="单人房",'预算'!$B$7,0))</x:f>
      </x:c>
      <x:c r="Q16" s="38" t="str">
        <x:f>IF(B16="","",O16-P16)</x:f>
      </x:c>
      <x:c r="R16" s="24"/>
    </x:row>
    <x:row r="17">
      <x:c r="A17" s="35" t="str">
        <x:f>IF(B17="","",ROW()-6)</x:f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7"/>
      <x:c r="P17" s="38" t="str">
        <x:f>IF(B17="","",'预算'!$B$5+IF(H17="单人房",'预算'!$B$7,0))</x:f>
      </x:c>
      <x:c r="Q17" s="38" t="str">
        <x:f>IF(B17="","",O17-P17)</x:f>
      </x:c>
      <x:c r="R17" s="24"/>
    </x:row>
    <x:row r="18">
      <x:c r="A18" s="35" t="str">
        <x:f>IF(B18="","",ROW()-6)</x:f>
      </x:c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7"/>
      <x:c r="P18" s="38" t="str">
        <x:f>IF(B18="","",'预算'!$B$5+IF(H18="单人房",'预算'!$B$7,0))</x:f>
      </x:c>
      <x:c r="Q18" s="38" t="str">
        <x:f>IF(B18="","",O18-P18)</x:f>
      </x:c>
      <x:c r="R18" s="24"/>
    </x:row>
    <x:row r="19">
      <x:c r="A19" s="35" t="str">
        <x:f>IF(B19="","",ROW()-6)</x:f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7"/>
      <x:c r="P19" s="38" t="str">
        <x:f>IF(B19="","",'预算'!$B$5+IF(H19="单人房",'预算'!$B$7,0))</x:f>
      </x:c>
      <x:c r="Q19" s="38" t="str">
        <x:f>IF(B19="","",O19-P19)</x:f>
      </x:c>
      <x:c r="R19" s="24"/>
    </x:row>
    <x:row r="20">
      <x:c r="A20" s="35" t="str">
        <x:f>IF(B20="","",ROW()-6)</x:f>
      </x:c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7"/>
      <x:c r="P20" s="38" t="str">
        <x:f>IF(B20="","",'预算'!$B$5+IF(H20="单人房",'预算'!$B$7,0))</x:f>
      </x:c>
      <x:c r="Q20" s="38" t="str">
        <x:f>IF(B20="","",O20-P20)</x:f>
      </x:c>
      <x:c r="R20" s="24"/>
    </x:row>
    <x:row r="21">
      <x:c r="A21" s="35" t="str">
        <x:f>IF(B21="","",ROW()-6)</x:f>
      </x:c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7"/>
      <x:c r="P21" s="38" t="str">
        <x:f>IF(B21="","",'预算'!$B$5+IF(H21="单人房",'预算'!$B$7,0))</x:f>
      </x:c>
      <x:c r="Q21" s="38" t="str">
        <x:f>IF(B21="","",O21-P21)</x:f>
      </x:c>
      <x:c r="R21" s="24"/>
    </x:row>
    <x:row r="22">
      <x:c r="A22" s="35" t="str">
        <x:f>IF(B22="","",ROW()-6)</x:f>
      </x:c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7"/>
      <x:c r="P22" s="38" t="str">
        <x:f>IF(B22="","",'预算'!$B$5+IF(H22="单人房",'预算'!$B$7,0))</x:f>
      </x:c>
      <x:c r="Q22" s="38" t="str">
        <x:f>IF(B22="","",O22-P22)</x:f>
      </x:c>
      <x:c r="R22" s="24"/>
    </x:row>
    <x:row r="23">
      <x:c r="A23" s="35" t="str">
        <x:f>IF(B23="","",ROW()-6)</x:f>
      </x:c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7"/>
      <x:c r="P23" s="38" t="str">
        <x:f>IF(B23="","",'预算'!$B$5+IF(H23="单人房",'预算'!$B$7,0))</x:f>
      </x:c>
      <x:c r="Q23" s="38" t="str">
        <x:f>IF(B23="","",O23-P23)</x:f>
      </x:c>
      <x:c r="R23" s="24"/>
    </x:row>
    <x:row r="24">
      <x:c r="A24" s="35" t="str">
        <x:f>IF(B24="","",ROW()-6)</x:f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7"/>
      <x:c r="P24" s="38" t="str">
        <x:f>IF(B24="","",'预算'!$B$5+IF(H24="单人房",'预算'!$B$7,0))</x:f>
      </x:c>
      <x:c r="Q24" s="38" t="str">
        <x:f>IF(B24="","",O24-P24)</x:f>
      </x:c>
      <x:c r="R24" s="24"/>
    </x:row>
    <x:row r="25">
      <x:c r="A25" s="35" t="str">
        <x:f>IF(B25="","",ROW()-6)</x:f>
      </x:c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7"/>
      <x:c r="P25" s="38" t="str">
        <x:f>IF(B25="","",'预算'!$B$5+IF(H25="单人房",'预算'!$B$7,0))</x:f>
      </x:c>
      <x:c r="Q25" s="38" t="str">
        <x:f>IF(B25="","",O25-P25)</x:f>
      </x:c>
      <x:c r="R25" s="24"/>
    </x:row>
    <x:row r="26">
      <x:c r="A26" s="35" t="str">
        <x:f>IF(B26="","",ROW()-6)</x:f>
      </x:c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7"/>
      <x:c r="P26" s="38" t="str">
        <x:f>IF(B26="","",'预算'!$B$5+IF(H26="单人房",'预算'!$B$7,0))</x:f>
      </x:c>
      <x:c r="Q26" s="38" t="str">
        <x:f>IF(B26="","",O26-P26)</x:f>
      </x:c>
      <x:c r="R26" s="24"/>
    </x:row>
    <x:row r="27">
      <x:c r="A27" s="35" t="str">
        <x:f>IF(B27="","",ROW()-6)</x:f>
      </x:c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7"/>
      <x:c r="P27" s="38" t="str">
        <x:f>IF(B27="","",'预算'!$B$5+IF(H27="单人房",'预算'!$B$7,0))</x:f>
      </x:c>
      <x:c r="Q27" s="38" t="str">
        <x:f>IF(B27="","",O27-P27)</x:f>
      </x:c>
      <x:c r="R27" s="24"/>
    </x:row>
    <x:row r="28">
      <x:c r="A28" s="35" t="str">
        <x:f>IF(B28="","",ROW()-6)</x:f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7"/>
      <x:c r="P28" s="38" t="str">
        <x:f>IF(B28="","",'预算'!$B$5+IF(H28="单人房",'预算'!$B$7,0))</x:f>
      </x:c>
      <x:c r="Q28" s="38" t="str">
        <x:f>IF(B28="","",O28-P28)</x:f>
      </x:c>
      <x:c r="R28" s="24"/>
    </x:row>
    <x:row r="29">
      <x:c r="A29" s="35" t="str">
        <x:f>IF(B29="","",ROW()-6)</x:f>
      </x:c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7"/>
      <x:c r="P29" s="38" t="str">
        <x:f>IF(B29="","",'预算'!$B$5+IF(H29="单人房",'预算'!$B$7,0))</x:f>
      </x:c>
      <x:c r="Q29" s="38" t="str">
        <x:f>IF(B29="","",O29-P29)</x:f>
      </x:c>
      <x:c r="R29" s="24"/>
    </x:row>
    <x:row r="30">
      <x:c r="A30" s="35" t="str">
        <x:f>IF(B30="","",ROW()-6)</x:f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7"/>
      <x:c r="P30" s="38" t="str">
        <x:f>IF(B30="","",'预算'!$B$5+IF(H30="单人房",'预算'!$B$7,0))</x:f>
      </x:c>
      <x:c r="Q30" s="38" t="str">
        <x:f>IF(B30="","",O30-P30)</x:f>
      </x:c>
      <x:c r="R30" s="24"/>
    </x:row>
    <x:row r="31">
      <x:c r="A31" s="35" t="str">
        <x:f>IF(B31="","",ROW()-6)</x:f>
      </x:c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7"/>
      <x:c r="P31" s="38" t="str">
        <x:f>IF(B31="","",'预算'!$B$5+IF(H31="单人房",'预算'!$B$7,0))</x:f>
      </x:c>
      <x:c r="Q31" s="38" t="str">
        <x:f>IF(B31="","",O31-P31)</x:f>
      </x:c>
      <x:c r="R31" s="24"/>
    </x:row>
    <x:row r="32">
      <x:c r="A32" s="35" t="str">
        <x:f>IF(B32="","",ROW()-6)</x:f>
      </x:c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7"/>
      <x:c r="P32" s="38" t="str">
        <x:f>IF(B32="","",'预算'!$B$5+IF(H32="单人房",'预算'!$B$7,0))</x:f>
      </x:c>
      <x:c r="Q32" s="38" t="str">
        <x:f>IF(B32="","",O32-P32)</x:f>
      </x:c>
      <x:c r="R32" s="24"/>
    </x:row>
    <x:row r="33">
      <x:c r="A33" s="35" t="str">
        <x:f>IF(B33="","",ROW()-6)</x:f>
      </x:c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7"/>
      <x:c r="P33" s="38" t="str">
        <x:f>IF(B33="","",'预算'!$B$5+IF(H33="单人房",'预算'!$B$7,0))</x:f>
      </x:c>
      <x:c r="Q33" s="38" t="str">
        <x:f>IF(B33="","",O33-P33)</x:f>
      </x:c>
      <x:c r="R33" s="24"/>
    </x:row>
    <x:row r="34">
      <x:c r="A34" s="35" t="str">
        <x:f>IF(B34="","",ROW()-6)</x:f>
      </x:c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7"/>
      <x:c r="P34" s="38" t="str">
        <x:f>IF(B34="","",'预算'!$B$5+IF(H34="单人房",'预算'!$B$7,0))</x:f>
      </x:c>
      <x:c r="Q34" s="38" t="str">
        <x:f>IF(B34="","",O34-P34)</x:f>
      </x:c>
      <x:c r="R34" s="24"/>
    </x:row>
    <x:row r="35">
      <x:c r="A35" s="35" t="str">
        <x:f>IF(B35="","",ROW()-6)</x:f>
      </x:c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7"/>
      <x:c r="P35" s="38" t="str">
        <x:f>IF(B35="","",'预算'!$B$5+IF(H35="单人房",'预算'!$B$7,0))</x:f>
      </x:c>
      <x:c r="Q35" s="38" t="str">
        <x:f>IF(B35="","",O35-P35)</x:f>
      </x:c>
      <x:c r="R35" s="24"/>
    </x:row>
    <x:row r="36">
      <x:c r="A36" s="35" t="str">
        <x:f>IF(B36="","",ROW()-6)</x:f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7"/>
      <x:c r="P36" s="38" t="str">
        <x:f>IF(B36="","",'预算'!$B$5+IF(H36="单人房",'预算'!$B$7,0))</x:f>
      </x:c>
      <x:c r="Q36" s="38" t="str">
        <x:f>IF(B36="","",O36-P36)</x:f>
      </x:c>
      <x:c r="R36" s="24"/>
    </x:row>
    <x:row r="37">
      <x:c r="A37" s="35" t="str">
        <x:f>IF(B37="","",ROW()-6)</x:f>
      </x:c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7"/>
      <x:c r="P37" s="38" t="str">
        <x:f>IF(B37="","",'预算'!$B$5+IF(H37="单人房",'预算'!$B$7,0))</x:f>
      </x:c>
      <x:c r="Q37" s="38" t="str">
        <x:f>IF(B37="","",O37-P37)</x:f>
      </x:c>
      <x:c r="R37" s="24"/>
    </x:row>
    <x:row r="38">
      <x:c r="A38" s="35" t="str">
        <x:f>IF(B38="","",ROW()-6)</x:f>
      </x:c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7"/>
      <x:c r="P38" s="38" t="str">
        <x:f>IF(B38="","",'预算'!$B$5+IF(H38="单人房",'预算'!$B$7,0))</x:f>
      </x:c>
      <x:c r="Q38" s="38" t="str">
        <x:f>IF(B38="","",O38-P38)</x:f>
      </x:c>
      <x:c r="R38" s="24"/>
    </x:row>
    <x:row r="39">
      <x:c r="A39" s="35" t="str">
        <x:f>IF(B39="","",ROW()-6)</x:f>
      </x:c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7"/>
      <x:c r="P39" s="38" t="str">
        <x:f>IF(B39="","",'预算'!$B$5+IF(H39="单人房",'预算'!$B$7,0))</x:f>
      </x:c>
      <x:c r="Q39" s="38" t="str">
        <x:f>IF(B39="","",O39-P39)</x:f>
      </x:c>
      <x:c r="R39" s="24"/>
    </x:row>
    <x:row r="40">
      <x:c r="A40" s="35" t="str">
        <x:f>IF(B40="","",ROW()-6)</x:f>
      </x:c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7"/>
      <x:c r="P40" s="38" t="str">
        <x:f>IF(B40="","",'预算'!$B$5+IF(H40="单人房",'预算'!$B$7,0))</x:f>
      </x:c>
      <x:c r="Q40" s="38" t="str">
        <x:f>IF(B40="","",O40-P40)</x:f>
      </x:c>
      <x:c r="R40" s="24"/>
    </x:row>
    <x:row r="41">
      <x:c r="A41" s="35" t="str">
        <x:f>IF(B41="","",ROW()-6)</x:f>
      </x:c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7"/>
      <x:c r="P41" s="38" t="str">
        <x:f>IF(B41="","",'预算'!$B$5+IF(H41="单人房",'预算'!$B$7,0))</x:f>
      </x:c>
      <x:c r="Q41" s="38" t="str">
        <x:f>IF(B41="","",O41-P41)</x:f>
      </x:c>
      <x:c r="R41" s="24"/>
    </x:row>
    <x:row r="42">
      <x:c r="A42" s="35" t="str">
        <x:f>IF(B42="","",ROW()-6)</x:f>
      </x:c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7"/>
      <x:c r="P42" s="38" t="str">
        <x:f>IF(B42="","",'预算'!$B$5+IF(H42="单人房",'预算'!$B$7,0))</x:f>
      </x:c>
      <x:c r="Q42" s="38" t="str">
        <x:f>IF(B42="","",O42-P42)</x:f>
      </x:c>
      <x:c r="R42" s="24"/>
    </x:row>
    <x:row r="43">
      <x:c r="A43" s="35" t="str">
        <x:f>IF(B43="","",ROW()-6)</x:f>
      </x:c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7"/>
      <x:c r="P43" s="38" t="str">
        <x:f>IF(B43="","",'预算'!$B$5+IF(H43="单人房",'预算'!$B$7,0))</x:f>
      </x:c>
      <x:c r="Q43" s="38" t="str">
        <x:f>IF(B43="","",O43-P43)</x:f>
      </x:c>
      <x:c r="R43" s="24"/>
    </x:row>
    <x:row r="44">
      <x:c r="A44" s="35" t="str">
        <x:f>IF(B44="","",ROW()-6)</x:f>
      </x:c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7"/>
      <x:c r="P44" s="38" t="str">
        <x:f>IF(B44="","",'预算'!$B$5+IF(H44="单人房",'预算'!$B$7,0))</x:f>
      </x:c>
      <x:c r="Q44" s="38" t="str">
        <x:f>IF(B44="","",O44-P44)</x:f>
      </x:c>
      <x:c r="R44" s="24"/>
    </x:row>
    <x:row r="45">
      <x:c r="A45" s="35" t="str">
        <x:f>IF(B45="","",ROW()-6)</x:f>
      </x:c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7"/>
      <x:c r="P45" s="38" t="str">
        <x:f>IF(B45="","",'预算'!$B$5+IF(H45="单人房",'预算'!$B$7,0))</x:f>
      </x:c>
      <x:c r="Q45" s="38" t="str">
        <x:f>IF(B45="","",O45-P45)</x:f>
      </x:c>
      <x:c r="R45" s="24"/>
    </x:row>
    <x:row r="46">
      <x:c r="A46" s="35" t="str">
        <x:f>IF(B46="","",ROW()-6)</x:f>
      </x:c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7"/>
      <x:c r="P46" s="38" t="str">
        <x:f>IF(B46="","",'预算'!$B$5+IF(H46="单人房",'预算'!$B$7,0))</x:f>
      </x:c>
      <x:c r="Q46" s="38" t="str">
        <x:f>IF(B46="","",O46-P46)</x:f>
      </x:c>
      <x:c r="R46" s="24"/>
    </x:row>
    <x:row r="47">
      <x:c r="A47" s="35" t="str">
        <x:f>IF(B47="","",ROW()-6)</x:f>
      </x:c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7"/>
      <x:c r="P47" s="38" t="str">
        <x:f>IF(B47="","",'预算'!$B$5+IF(H47="单人房",'预算'!$B$7,0))</x:f>
      </x:c>
      <x:c r="Q47" s="38" t="str">
        <x:f>IF(B47="","",O47-P47)</x:f>
      </x:c>
      <x:c r="R47" s="24"/>
    </x:row>
    <x:row r="48">
      <x:c r="A48" s="35" t="str">
        <x:f>IF(B48="","",ROW()-6)</x:f>
      </x:c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7"/>
      <x:c r="P48" s="38" t="str">
        <x:f>IF(B48="","",'预算'!$B$5+IF(H48="单人房",'预算'!$B$7,0))</x:f>
      </x:c>
      <x:c r="Q48" s="38" t="str">
        <x:f>IF(B48="","",O48-P48)</x:f>
      </x:c>
      <x:c r="R48" s="24"/>
    </x:row>
    <x:row r="49">
      <x:c r="A49" s="35" t="str">
        <x:f>IF(B49="","",ROW()-6)</x:f>
      </x:c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7"/>
      <x:c r="P49" s="38" t="str">
        <x:f>IF(B49="","",'预算'!$B$5+IF(H49="单人房",'预算'!$B$7,0))</x:f>
      </x:c>
      <x:c r="Q49" s="38" t="str">
        <x:f>IF(B49="","",O49-P49)</x:f>
      </x:c>
      <x:c r="R49" s="24"/>
    </x:row>
    <x:row r="50">
      <x:c r="A50" s="35" t="str">
        <x:f>IF(B50="","",ROW()-6)</x:f>
      </x:c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7"/>
      <x:c r="P50" s="38" t="str">
        <x:f>IF(B50="","",'预算'!$B$5+IF(H50="单人房",'预算'!$B$7,0))</x:f>
      </x:c>
      <x:c r="Q50" s="38" t="str">
        <x:f>IF(B50="","",O50-P50)</x:f>
      </x:c>
      <x:c r="R50" s="24"/>
    </x:row>
    <x:row r="51">
      <x:c r="A51" s="35" t="str">
        <x:f>IF(B51="","",ROW()-6)</x:f>
      </x:c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7"/>
      <x:c r="P51" s="38" t="str">
        <x:f>IF(B51="","",'预算'!$B$5+IF(H51="单人房",'预算'!$B$7,0))</x:f>
      </x:c>
      <x:c r="Q51" s="38" t="str">
        <x:f>IF(B51="","",O51-P51)</x:f>
      </x:c>
      <x:c r="R51" s="24"/>
    </x:row>
    <x:row r="52">
      <x:c r="A52" s="35" t="str">
        <x:f>IF(B52="","",ROW()-6)</x:f>
      </x:c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7"/>
      <x:c r="P52" s="38" t="str">
        <x:f>IF(B52="","",'预算'!$B$5+IF(H52="单人房",'预算'!$B$7,0))</x:f>
      </x:c>
      <x:c r="Q52" s="38" t="str">
        <x:f>IF(B52="","",O52-P52)</x:f>
      </x:c>
      <x:c r="R52" s="24"/>
    </x:row>
    <x:row r="53">
      <x:c r="A53" s="35" t="str">
        <x:f>IF(B53="","",ROW()-6)</x:f>
      </x:c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7"/>
      <x:c r="P53" s="38" t="str">
        <x:f>IF(B53="","",'预算'!$B$5+IF(H53="单人房",'预算'!$B$7,0))</x:f>
      </x:c>
      <x:c r="Q53" s="38" t="str">
        <x:f>IF(B53="","",O53-P53)</x:f>
      </x:c>
      <x:c r="R53" s="24"/>
    </x:row>
    <x:row r="54">
      <x:c r="A54" s="35" t="str">
        <x:f>IF(B54="","",ROW()-6)</x:f>
      </x:c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7"/>
      <x:c r="P54" s="38" t="str">
        <x:f>IF(B54="","",'预算'!$B$5+IF(H54="单人房",'预算'!$B$7,0))</x:f>
      </x:c>
      <x:c r="Q54" s="38" t="str">
        <x:f>IF(B54="","",O54-P54)</x:f>
      </x:c>
      <x:c r="R54" s="24"/>
    </x:row>
    <x:row r="55">
      <x:c r="A55" s="35" t="str">
        <x:f>IF(B55="","",ROW()-6)</x:f>
      </x:c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7"/>
      <x:c r="P55" s="38" t="str">
        <x:f>IF(B55="","",'预算'!$B$5+IF(H55="单人房",'预算'!$B$7,0))</x:f>
      </x:c>
      <x:c r="Q55" s="38" t="str">
        <x:f>IF(B55="","",O55-P55)</x:f>
      </x:c>
      <x:c r="R55" s="24"/>
    </x:row>
    <x:row r="56">
      <x:c r="A56" s="35" t="str">
        <x:f>IF(B56="","",ROW()-6)</x:f>
      </x:c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7"/>
      <x:c r="P56" s="38" t="str">
        <x:f>IF(B56="","",'预算'!$B$5+IF(H56="单人房",'预算'!$B$7,0))</x:f>
      </x:c>
      <x:c r="Q56" s="38" t="str">
        <x:f>IF(B56="","",O56-P56)</x:f>
      </x:c>
      <x:c r="R56" s="24"/>
    </x:row>
    <x:row r="57">
      <x:c r="A57" s="35" t="str">
        <x:f>IF(B57="","",ROW()-6)</x:f>
      </x:c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7"/>
      <x:c r="P57" s="38" t="str">
        <x:f>IF(B57="","",'预算'!$B$5+IF(H57="单人房",'预算'!$B$7,0))</x:f>
      </x:c>
      <x:c r="Q57" s="38" t="str">
        <x:f>IF(B57="","",O57-P57)</x:f>
      </x:c>
      <x:c r="R57" s="24"/>
    </x:row>
    <x:row r="58">
      <x:c r="A58" s="35" t="str">
        <x:f>IF(B58="","",ROW()-6)</x:f>
      </x:c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7"/>
      <x:c r="P58" s="38" t="str">
        <x:f>IF(B58="","",'预算'!$B$5+IF(H58="单人房",'预算'!$B$7,0))</x:f>
      </x:c>
      <x:c r="Q58" s="38" t="str">
        <x:f>IF(B58="","",O58-P58)</x:f>
      </x:c>
      <x:c r="R58" s="24"/>
    </x:row>
    <x:row r="59">
      <x:c r="A59" s="35" t="str">
        <x:f>IF(B59="","",ROW()-6)</x:f>
      </x:c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7"/>
      <x:c r="P59" s="38" t="str">
        <x:f>IF(B59="","",'预算'!$B$5+IF(H59="单人房",'预算'!$B$7,0))</x:f>
      </x:c>
      <x:c r="Q59" s="38" t="str">
        <x:f>IF(B59="","",O59-P59)</x:f>
      </x:c>
      <x:c r="R59" s="24"/>
    </x:row>
    <x:row r="60">
      <x:c r="A60" s="35" t="str">
        <x:f>IF(B60="","",ROW()-6)</x:f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7"/>
      <x:c r="P60" s="38" t="str">
        <x:f>IF(B60="","",'预算'!$B$5+IF(H60="单人房",'预算'!$B$7,0))</x:f>
      </x:c>
      <x:c r="Q60" s="38" t="str">
        <x:f>IF(B60="","",O60-P60)</x:f>
      </x:c>
      <x:c r="R60" s="24"/>
    </x:row>
    <x:row r="61">
      <x:c r="A61" s="35" t="str">
        <x:f>IF(B61="","",ROW()-6)</x:f>
      </x:c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7"/>
      <x:c r="P61" s="38" t="str">
        <x:f>IF(B61="","",'预算'!$B$5+IF(H61="单人房",'预算'!$B$7,0))</x:f>
      </x:c>
      <x:c r="Q61" s="38" t="str">
        <x:f>IF(B61="","",O61-P61)</x:f>
      </x:c>
      <x:c r="R61" s="24"/>
    </x:row>
    <x:row r="62">
      <x:c r="A62" s="35" t="str">
        <x:f>IF(B62="","",ROW()-6)</x:f>
      </x:c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7"/>
      <x:c r="P62" s="38" t="str">
        <x:f>IF(B62="","",'预算'!$B$5+IF(H62="单人房",'预算'!$B$7,0))</x:f>
      </x:c>
      <x:c r="Q62" s="38" t="str">
        <x:f>IF(B62="","",O62-P62)</x:f>
      </x:c>
      <x:c r="R62" s="24"/>
    </x:row>
    <x:row r="63">
      <x:c r="A63" s="35" t="str">
        <x:f>IF(B63="","",ROW()-6)</x:f>
      </x:c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7"/>
      <x:c r="P63" s="38" t="str">
        <x:f>IF(B63="","",'预算'!$B$5+IF(H63="单人房",'预算'!$B$7,0))</x:f>
      </x:c>
      <x:c r="Q63" s="38" t="str">
        <x:f>IF(B63="","",O63-P63)</x:f>
      </x:c>
      <x:c r="R63" s="24"/>
    </x:row>
    <x:row r="64">
      <x:c r="A64" s="35" t="str">
        <x:f>IF(B64="","",ROW()-6)</x:f>
      </x:c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7"/>
      <x:c r="P64" s="38" t="str">
        <x:f>IF(B64="","",'预算'!$B$5+IF(H64="单人房",'预算'!$B$7,0))</x:f>
      </x:c>
      <x:c r="Q64" s="38" t="str">
        <x:f>IF(B64="","",O64-P64)</x:f>
      </x:c>
      <x:c r="R64" s="24"/>
    </x:row>
    <x:row r="65">
      <x:c r="A65" s="35" t="str">
        <x:f>IF(B65="","",ROW()-6)</x:f>
      </x:c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7"/>
      <x:c r="P65" s="38" t="str">
        <x:f>IF(B65="","",'预算'!$B$5+IF(H65="单人房",'预算'!$B$7,0))</x:f>
      </x:c>
      <x:c r="Q65" s="38" t="str">
        <x:f>IF(B65="","",O65-P65)</x:f>
      </x:c>
      <x:c r="R65" s="24"/>
    </x:row>
    <x:row r="66">
      <x:c r="A66" s="35" t="str">
        <x:f>IF(B66="","",ROW()-6)</x:f>
      </x:c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7"/>
      <x:c r="P66" s="38" t="str">
        <x:f>IF(B66="","",'预算'!$B$5+IF(H66="单人房",'预算'!$B$7,0))</x:f>
      </x:c>
      <x:c r="Q66" s="38" t="str">
        <x:f>IF(B66="","",O66-P66)</x:f>
      </x:c>
      <x:c r="R66" s="24"/>
    </x:row>
    <x:row r="67">
      <x:c r="A67" s="35" t="str">
        <x:f>IF(B67="","",ROW()-6)</x:f>
      </x:c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7"/>
      <x:c r="P67" s="38" t="str">
        <x:f>IF(B67="","",'预算'!$B$5+IF(H67="单人房",'预算'!$B$7,0))</x:f>
      </x:c>
      <x:c r="Q67" s="38" t="str">
        <x:f>IF(B67="","",O67-P67)</x:f>
      </x:c>
      <x:c r="R67" s="24"/>
    </x:row>
    <x:row r="68">
      <x:c r="A68" s="35" t="str">
        <x:f>IF(B68="","",ROW()-6)</x:f>
      </x:c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7"/>
      <x:c r="P68" s="38" t="str">
        <x:f>IF(B68="","",'预算'!$B$5+IF(H68="单人房",'预算'!$B$7,0))</x:f>
      </x:c>
      <x:c r="Q68" s="38" t="str">
        <x:f>IF(B68="","",O68-P68)</x:f>
      </x:c>
      <x:c r="R68" s="24"/>
    </x:row>
    <x:row r="69">
      <x:c r="A69" s="35" t="str">
        <x:f>IF(B69="","",ROW()-6)</x:f>
      </x:c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7"/>
      <x:c r="P69" s="38" t="str">
        <x:f>IF(B69="","",'预算'!$B$5+IF(H69="单人房",'预算'!$B$7,0))</x:f>
      </x:c>
      <x:c r="Q69" s="38" t="str">
        <x:f>IF(B69="","",O69-P69)</x:f>
      </x:c>
      <x:c r="R69" s="24"/>
    </x:row>
    <x:row r="70">
      <x:c r="A70" s="35" t="str">
        <x:f>IF(B70="","",ROW()-6)</x:f>
      </x:c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7"/>
      <x:c r="P70" s="38" t="str">
        <x:f>IF(B70="","",'预算'!$B$5+IF(H70="单人房",'预算'!$B$7,0))</x:f>
      </x:c>
      <x:c r="Q70" s="38" t="str">
        <x:f>IF(B70="","",O70-P70)</x:f>
      </x:c>
      <x:c r="R70" s="24"/>
    </x:row>
    <x:row r="71">
      <x:c r="A71" s="35" t="str">
        <x:f>IF(B71="","",ROW()-6)</x:f>
      </x:c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7"/>
      <x:c r="P71" s="38" t="str">
        <x:f>IF(B71="","",'预算'!$B$5+IF(H71="单人房",'预算'!$B$7,0))</x:f>
      </x:c>
      <x:c r="Q71" s="38" t="str">
        <x:f>IF(B71="","",O71-P71)</x:f>
      </x:c>
      <x:c r="R71" s="24"/>
    </x:row>
    <x:row r="72">
      <x:c r="A72" s="35" t="str">
        <x:f>IF(B72="","",ROW()-6)</x:f>
      </x:c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7"/>
      <x:c r="P72" s="38" t="str">
        <x:f>IF(B72="","",'预算'!$B$5+IF(H72="单人房",'预算'!$B$7,0))</x:f>
      </x:c>
      <x:c r="Q72" s="38" t="str">
        <x:f>IF(B72="","",O72-P72)</x:f>
      </x:c>
      <x:c r="R72" s="24"/>
    </x:row>
    <x:row r="73">
      <x:c r="A73" s="35" t="str">
        <x:f>IF(B73="","",ROW()-6)</x:f>
      </x:c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7"/>
      <x:c r="P73" s="38" t="str">
        <x:f>IF(B73="","",'预算'!$B$5+IF(H73="单人房",'预算'!$B$7,0))</x:f>
      </x:c>
      <x:c r="Q73" s="38" t="str">
        <x:f>IF(B73="","",O73-P73)</x:f>
      </x:c>
      <x:c r="R73" s="24"/>
    </x:row>
    <x:row r="74">
      <x:c r="A74" s="35" t="str">
        <x:f>IF(B74="","",ROW()-6)</x:f>
      </x:c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7"/>
      <x:c r="P74" s="38" t="str">
        <x:f>IF(B74="","",'预算'!$B$5+IF(H74="单人房",'预算'!$B$7,0))</x:f>
      </x:c>
      <x:c r="Q74" s="38" t="str">
        <x:f>IF(B74="","",O74-P74)</x:f>
      </x:c>
      <x:c r="R74" s="24"/>
    </x:row>
    <x:row r="75">
      <x:c r="A75" s="35" t="str">
        <x:f>IF(B75="","",ROW()-6)</x:f>
      </x:c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7"/>
      <x:c r="P75" s="38" t="str">
        <x:f>IF(B75="","",'预算'!$B$5+IF(H75="单人房",'预算'!$B$7,0))</x:f>
      </x:c>
      <x:c r="Q75" s="38" t="str">
        <x:f>IF(B75="","",O75-P75)</x:f>
      </x:c>
      <x:c r="R75" s="24"/>
    </x:row>
    <x:row r="76">
      <x:c r="A76" s="35" t="str">
        <x:f>IF(B76="","",ROW()-6)</x:f>
      </x:c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7"/>
      <x:c r="P76" s="38" t="str">
        <x:f>IF(B76="","",'预算'!$B$5+IF(H76="单人房",'预算'!$B$7,0))</x:f>
      </x:c>
      <x:c r="Q76" s="38" t="str">
        <x:f>IF(B76="","",O76-P76)</x:f>
      </x:c>
      <x:c r="R76" s="24"/>
    </x:row>
    <x:row r="77">
      <x:c r="A77" s="35" t="str">
        <x:f>IF(B77="","",ROW()-6)</x:f>
      </x:c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7"/>
      <x:c r="P77" s="38" t="str">
        <x:f>IF(B77="","",'预算'!$B$5+IF(H77="单人房",'预算'!$B$7,0))</x:f>
      </x:c>
      <x:c r="Q77" s="38" t="str">
        <x:f>IF(B77="","",O77-P77)</x:f>
      </x:c>
      <x:c r="R77" s="24"/>
    </x:row>
    <x:row r="78">
      <x:c r="A78" s="35" t="str">
        <x:f>IF(B78="","",ROW()-6)</x:f>
      </x:c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7"/>
      <x:c r="P78" s="38" t="str">
        <x:f>IF(B78="","",'预算'!$B$5+IF(H78="单人房",'预算'!$B$7,0))</x:f>
      </x:c>
      <x:c r="Q78" s="38" t="str">
        <x:f>IF(B78="","",O78-P78)</x:f>
      </x:c>
      <x:c r="R78" s="24"/>
    </x:row>
    <x:row r="79">
      <x:c r="A79" s="35" t="str">
        <x:f>IF(B79="","",ROW()-6)</x:f>
      </x:c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7"/>
      <x:c r="P79" s="38" t="str">
        <x:f>IF(B79="","",'预算'!$B$5+IF(H79="单人房",'预算'!$B$7,0))</x:f>
      </x:c>
      <x:c r="Q79" s="38" t="str">
        <x:f>IF(B79="","",O79-P79)</x:f>
      </x:c>
      <x:c r="R79" s="24"/>
    </x:row>
    <x:row r="80">
      <x:c r="A80" s="35" t="str">
        <x:f>IF(B80="","",ROW()-6)</x:f>
      </x:c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7"/>
      <x:c r="P80" s="38" t="str">
        <x:f>IF(B80="","",'预算'!$B$5+IF(H80="单人房",'预算'!$B$7,0))</x:f>
      </x:c>
      <x:c r="Q80" s="38" t="str">
        <x:f>IF(B80="","",O80-P80)</x:f>
      </x:c>
      <x:c r="R80" s="24"/>
    </x:row>
    <x:row r="81">
      <x:c r="A81" s="35" t="str">
        <x:f>IF(B81="","",ROW()-6)</x:f>
      </x:c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7"/>
      <x:c r="P81" s="38" t="str">
        <x:f>IF(B81="","",'预算'!$B$5+IF(H81="单人房",'预算'!$B$7,0))</x:f>
      </x:c>
      <x:c r="Q81" s="38" t="str">
        <x:f>IF(B81="","",O81-P81)</x:f>
      </x:c>
      <x:c r="R81" s="24"/>
    </x:row>
    <x:row r="82">
      <x:c r="A82" s="35" t="str">
        <x:f>IF(B82="","",ROW()-6)</x:f>
      </x:c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7"/>
      <x:c r="P82" s="38" t="str">
        <x:f>IF(B82="","",'预算'!$B$5+IF(H82="单人房",'预算'!$B$7,0))</x:f>
      </x:c>
      <x:c r="Q82" s="38" t="str">
        <x:f>IF(B82="","",O82-P82)</x:f>
      </x:c>
      <x:c r="R82" s="24"/>
    </x:row>
    <x:row r="83">
      <x:c r="A83" s="35" t="str">
        <x:f>IF(B83="","",ROW()-6)</x:f>
      </x:c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7"/>
      <x:c r="P83" s="38" t="str">
        <x:f>IF(B83="","",'预算'!$B$5+IF(H83="单人房",'预算'!$B$7,0))</x:f>
      </x:c>
      <x:c r="Q83" s="38" t="str">
        <x:f>IF(B83="","",O83-P83)</x:f>
      </x:c>
      <x:c r="R83" s="24"/>
    </x:row>
    <x:row r="84">
      <x:c r="A84" s="35" t="str">
        <x:f>IF(B84="","",ROW()-6)</x:f>
      </x:c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7"/>
      <x:c r="P84" s="38" t="str">
        <x:f>IF(B84="","",'预算'!$B$5+IF(H84="单人房",'预算'!$B$7,0))</x:f>
      </x:c>
      <x:c r="Q84" s="38" t="str">
        <x:f>IF(B84="","",O84-P84)</x:f>
      </x:c>
      <x:c r="R84" s="24"/>
    </x:row>
    <x:row r="85">
      <x:c r="A85" s="35" t="str">
        <x:f>IF(B85="","",ROW()-6)</x:f>
      </x:c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7"/>
      <x:c r="P85" s="38" t="str">
        <x:f>IF(B85="","",'预算'!$B$5+IF(H85="单人房",'预算'!$B$7,0))</x:f>
      </x:c>
      <x:c r="Q85" s="38" t="str">
        <x:f>IF(B85="","",O85-P85)</x:f>
      </x:c>
      <x:c r="R85" s="24"/>
    </x:row>
    <x:row r="86">
      <x:c r="A86" s="35" t="str">
        <x:f>IF(B86="","",ROW()-6)</x:f>
      </x:c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7"/>
      <x:c r="P86" s="38" t="str">
        <x:f>IF(B86="","",'预算'!$B$5+IF(H86="单人房",'预算'!$B$7,0))</x:f>
      </x:c>
      <x:c r="Q86" s="38" t="str">
        <x:f>IF(B86="","",O86-P86)</x:f>
      </x:c>
      <x:c r="R86" s="24"/>
    </x:row>
  </x:sheetData>
  <x:mergeCells>
    <x:mergeCell ref="A1:R1"/>
    <x:mergeCell ref="A3:R4"/>
  </x:mergeCells>
  <x:conditionalFormatting sqref="O7:O86">
    <x:cfRule type="cellIs" dxfId="0" priority="1" operator="lessThan">
      <x:formula>500</x:formula>
    </x:cfRule>
  </x:conditionalFormatting>
  <x:dataValidations count="4">
    <x:dataValidation type="list" sqref="F7:F86">
      <x:formula1>"否,是"</x:formula1>
    </x:dataValidation>
    <x:dataValidation type="list" sqref="G7:G86">
      <x:formula1>"已报名,候补,不参加"</x:formula1>
    </x:dataValidation>
    <x:dataValidation type="list" sqref="H7:H86">
      <x:formula1>"双人拼住,单人房,自理住宿"</x:formula1>
    </x:dataValidation>
    <x:dataValidation type="list" sqref="J7:J86">
      <x:formula1>"已办,待办理,不确定"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3" hidden="0" customWidth="1"/>
    <x:col min="4" max="4" width="28" hidden="0" customWidth="1"/>
    <x:col min="5" max="5" width="15" hidden="0" customWidth="1"/>
    <x:col min="6" max="6" width="13" hidden="0" customWidth="1"/>
    <x:col min="7" max="7" width="24" hidden="0" customWidth="1"/>
  </x:cols>
  <x:sheetData>
    <x:row r="1" ht="30" customHeight="1">
      <x:c r="A1" s="4" t="str">
        <x:v>华工毕业20周年聚会｜筹备清单</x:v>
      </x:c>
      <x:c r="B1" s="4"/>
      <x:c r="C1" s="4"/>
      <x:c r="D1" s="4"/>
      <x:c r="E1" s="4"/>
      <x:c r="F1" s="4"/>
      <x:c r="G1" s="4"/>
    </x:row>
    <x:row r="3" ht="38" customHeight="1">
      <x:c r="A3" s="33" t="str">
        <x:v>建议每周由总协调更新一次状态。状态：未开始 / 进行中 / 已完成 / 阻塞。</x:v>
      </x:c>
      <x:c r="B3" s="33"/>
      <x:c r="C3" s="33"/>
      <x:c r="D3" s="33"/>
      <x:c r="E3" s="33"/>
      <x:c r="F3" s="33"/>
      <x:c r="G3" s="33"/>
    </x:row>
    <x:row r="4" ht="38" customHeight="1">
      <x:c r="A4" s="33"/>
      <x:c r="B4" s="33"/>
      <x:c r="C4" s="33"/>
      <x:c r="D4" s="33"/>
      <x:c r="E4" s="33"/>
      <x:c r="F4" s="33"/>
      <x:c r="G4" s="33"/>
    </x:row>
    <x:row r="6" ht="32" customHeight="1">
      <x:c r="A6" s="20" t="str">
        <x:v>阶段</x:v>
      </x:c>
      <x:c r="B6" s="20" t="str">
        <x:v>截止时间</x:v>
      </x:c>
      <x:c r="C6" s="20" t="str">
        <x:v>任务</x:v>
      </x:c>
      <x:c r="D6" s="20" t="str">
        <x:v>交付物</x:v>
      </x:c>
      <x:c r="E6" s="20" t="str">
        <x:v>负责人</x:v>
      </x:c>
      <x:c r="F6" s="20" t="str">
        <x:v>状态</x:v>
      </x:c>
      <x:c r="G6" s="20" t="str">
        <x:v>备注</x:v>
      </x:c>
    </x:row>
    <x:row r="7">
      <x:c r="A7" s="24" t="str">
        <x:v>启动</x:v>
      </x:c>
      <x:c r="B7" s="24" t="str">
        <x:v>2026-08-15</x:v>
      </x:c>
      <x:c r="C7" s="24" t="str">
        <x:v>建立筹委会并确定日期、人数目标</x:v>
      </x:c>
      <x:c r="D7" s="24" t="str">
        <x:v>筹委名单、群规、报名方案</x:v>
      </x:c>
      <x:c r="E7" s="24" t="str"/>
      <x:c r="F7" s="24" t="str">
        <x:v>未开始</x:v>
      </x:c>
      <x:c r="G7" s="24" t="str"/>
    </x:row>
    <x:row r="8">
      <x:c r="A8" s="24" t="str">
        <x:v>校方</x:v>
      </x:c>
      <x:c r="B8" s="24" t="str">
        <x:v>2026-08-31</x:v>
      </x:c>
      <x:c r="C8" s="24" t="str">
        <x:v>联系学院/校友老师，提交返校需求</x:v>
      </x:c>
      <x:c r="D8" s="24" t="str">
        <x:v>场地、团体参观、车辆需求单</x:v>
      </x:c>
      <x:c r="E8" s="24" t="str"/>
      <x:c r="F8" s="24" t="str">
        <x:v>未开始</x:v>
      </x:c>
      <x:c r="G8" s="24" t="str"/>
    </x:row>
    <x:row r="9">
      <x:c r="A9" s="24" t="str">
        <x:v>报名</x:v>
      </x:c>
      <x:c r="B9" s="24" t="str">
        <x:v>2026-09-10</x:v>
      </x:c>
      <x:c r="C9" s="24" t="str">
        <x:v>第一轮报名及校友卡统计</x:v>
      </x:c>
      <x:c r="D9" s="24" t="str">
        <x:v>报名台账v1</x:v>
      </x:c>
      <x:c r="E9" s="24" t="str"/>
      <x:c r="F9" s="24" t="str">
        <x:v>未开始</x:v>
      </x:c>
      <x:c r="G9" s="24" t="str"/>
    </x:row>
    <x:row r="10">
      <x:c r="A10" s="24" t="str">
        <x:v>供应商</x:v>
      </x:c>
      <x:c r="B10" s="24" t="str">
        <x:v>2026-09-20</x:v>
      </x:c>
      <x:c r="C10" s="24" t="str">
        <x:v>酒店、晚宴、摄影、场地询价并暂锁</x:v>
      </x:c>
      <x:c r="D10" s="24" t="str">
        <x:v>比价表、预算v1</x:v>
      </x:c>
      <x:c r="E10" s="24" t="str"/>
      <x:c r="F10" s="24" t="str">
        <x:v>未开始</x:v>
      </x:c>
      <x:c r="G10" s="24" t="str"/>
    </x:row>
    <x:row r="11">
      <x:c r="A11" s="24" t="str">
        <x:v>资金</x:v>
      </x:c>
      <x:c r="B11" s="24" t="str">
        <x:v>2026-09-30</x:v>
      </x:c>
      <x:c r="C11" s="24" t="str">
        <x:v>收定金并形成第一版预算</x:v>
      </x:c>
      <x:c r="D11" s="24" t="str">
        <x:v>收款记录、预算v1</x:v>
      </x:c>
      <x:c r="E11" s="24" t="str"/>
      <x:c r="F11" s="24" t="str">
        <x:v>未开始</x:v>
      </x:c>
      <x:c r="G11" s="24" t="str"/>
    </x:row>
    <x:row r="12">
      <x:c r="A12" s="24" t="str">
        <x:v>内容</x:v>
      </x:c>
      <x:c r="B12" s="24" t="str">
        <x:v>2026-10-08</x:v>
      </x:c>
      <x:c r="C12" s="24" t="str">
        <x:v>收老照片、毕业照、老师寄语</x:v>
      </x:c>
      <x:c r="D12" s="24" t="str">
        <x:v>视频素材包</x:v>
      </x:c>
      <x:c r="E12" s="24" t="str"/>
      <x:c r="F12" s="24" t="str">
        <x:v>未开始</x:v>
      </x:c>
      <x:c r="G12" s="24" t="str"/>
    </x:row>
    <x:row r="13">
      <x:c r="A13" s="24" t="str">
        <x:v>锁定</x:v>
      </x:c>
      <x:c r="B13" s="24" t="str">
        <x:v>2026-10-20</x:v>
      </x:c>
      <x:c r="C13" s="24" t="str">
        <x:v>锁人数、房型、菜单、老师行程、摄影</x:v>
      </x:c>
      <x:c r="D13" s="24" t="str">
        <x:v>供应商确认单</x:v>
      </x:c>
      <x:c r="E13" s="24" t="str"/>
      <x:c r="F13" s="24" t="str">
        <x:v>未开始</x:v>
      </x:c>
      <x:c r="G13" s="24" t="str"/>
    </x:row>
    <x:row r="14">
      <x:c r="A14" s="24" t="str">
        <x:v>报备</x:v>
      </x:c>
      <x:c r="B14" s="24" t="str">
        <x:v>2026-10-27</x:v>
      </x:c>
      <x:c r="C14" s="24" t="str">
        <x:v>提交最终团体/车辆名单</x:v>
      </x:c>
      <x:c r="D14" s="24" t="str">
        <x:v>入校清单</x:v>
      </x:c>
      <x:c r="E14" s="24" t="str"/>
      <x:c r="F14" s="24" t="str">
        <x:v>未开始</x:v>
      </x:c>
      <x:c r="G14" s="24" t="str"/>
    </x:row>
    <x:row r="15">
      <x:c r="A15" s="24" t="str">
        <x:v>物料</x:v>
      </x:c>
      <x:c r="B15" s="24" t="str">
        <x:v>2026-10-31</x:v>
      </x:c>
      <x:c r="C15" s="24" t="str">
        <x:v>完成胸牌、桌牌、班旗、纪念册</x:v>
      </x:c>
      <x:c r="D15" s="24" t="str">
        <x:v>物料包</x:v>
      </x:c>
      <x:c r="E15" s="24" t="str"/>
      <x:c r="F15" s="24" t="str">
        <x:v>未开始</x:v>
      </x:c>
      <x:c r="G15" s="24" t="str"/>
    </x:row>
    <x:row r="16">
      <x:c r="A16" s="24" t="str">
        <x:v>通知</x:v>
      </x:c>
      <x:c r="B16" s="24" t="str">
        <x:v>2026-10-31</x:v>
      </x:c>
      <x:c r="C16" s="24" t="str">
        <x:v>发送行前通知、收尾款</x:v>
      </x:c>
      <x:c r="D16" s="24" t="str">
        <x:v>行前通知、联系人表</x:v>
      </x:c>
      <x:c r="E16" s="24" t="str"/>
      <x:c r="F16" s="24" t="str">
        <x:v>未开始</x:v>
      </x:c>
      <x:c r="G16" s="24" t="str"/>
    </x:row>
    <x:row r="17">
      <x:c r="A17" s="24" t="str">
        <x:v>踩点</x:v>
      </x:c>
      <x:c r="B17" s="24" t="str">
        <x:v>2026-11-06</x:v>
      </x:c>
      <x:c r="C17" s="24" t="str">
        <x:v>现场踩点、物料清点、关键人确认</x:v>
      </x:c>
      <x:c r="D17" s="24" t="str">
        <x:v>现场执行单</x:v>
      </x:c>
      <x:c r="E17" s="24" t="str"/>
      <x:c r="F17" s="24" t="str">
        <x:v>未开始</x:v>
      </x:c>
      <x:c r="G17" s="24" t="str"/>
    </x:row>
    <x:row r="18">
      <x:c r="A18" s="24" t="str">
        <x:v>收尾</x:v>
      </x:c>
      <x:c r="B18" s="24" t="str">
        <x:v>2026-11-15</x:v>
      </x:c>
      <x:c r="C18" s="24" t="str">
        <x:v>公开财务、发布影像、收集反馈</x:v>
      </x:c>
      <x:c r="D18" s="24" t="str">
        <x:v>结算表、电子纪念册</x:v>
      </x:c>
      <x:c r="E18" s="24" t="str"/>
      <x:c r="F18" s="24" t="str">
        <x:v>未开始</x:v>
      </x:c>
      <x:c r="G18" s="24" t="str"/>
    </x:row>
    <x:row r="19">
      <x:c r="A19" s="24" t="str">
        <x:v>后续</x:v>
      </x:c>
      <x:c r="B19" s="24" t="str">
        <x:v>2026-11-22</x:v>
      </x:c>
      <x:c r="C19" s="24" t="str">
        <x:v>封存时光信箱，确定长期联系人</x:v>
      </x:c>
      <x:c r="D19" s="24" t="str">
        <x:v>班级互助清单</x:v>
      </x:c>
      <x:c r="E19" s="24" t="str"/>
      <x:c r="F19" s="24" t="str">
        <x:v>未开始</x:v>
      </x:c>
      <x:c r="G19" s="24" t="str"/>
    </x:row>
    <x:row r="20">
      <x:c r="A20" s="24" t="str">
        <x:v>预留</x:v>
      </x:c>
      <x:c r="B20" s="24" t="str"/>
      <x:c r="C20" s="24" t="str">
        <x:v>补充任务</x:v>
      </x:c>
      <x:c r="D20" s="24" t="str"/>
      <x:c r="E20" s="24" t="str"/>
      <x:c r="F20" s="24" t="str">
        <x:v>未开始</x:v>
      </x:c>
      <x:c r="G20" s="24" t="str"/>
    </x:row>
  </x:sheetData>
  <x:mergeCells>
    <x:mergeCell ref="A1:G1"/>
    <x:mergeCell ref="A3:G4"/>
  </x:mergeCells>
  <x:conditionalFormatting sqref="F7:F20">
    <x:cfRule type="containsText" dxfId="1" priority="1" operator="containsText" text="已完成"/>
    <x:cfRule type="containsText" dxfId="2" priority="2" operator="containsText" text="阻塞"/>
  </x:conditionalFormatting>
  <x:dataValidations count="1">
    <x:dataValidation type="list" sqref="F7:F20">
      <x:formula1>"未开始,进行中,已完成,阻塞"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3" hidden="0" customWidth="1"/>
    <x:col min="4" max="4" width="16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34" hidden="0" customWidth="1"/>
  </x:cols>
  <x:sheetData>
    <x:row r="1" ht="30" customHeight="1">
      <x:c r="A1" s="4" t="str">
        <x:v>华工毕业20周年聚会｜场地与供应商比价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8" customHeight="1">
      <x:c r="A3" s="33" t="str">
        <x:v>请至少保留两家报价。签约前务必写清：容纳人数、用餐标准、服务费、酒水、超时费、停车、发票、取消条款。</x:v>
      </x:c>
      <x:c r="B3" s="33"/>
      <x:c r="C3" s="33"/>
      <x:c r="D3" s="33"/>
      <x:c r="E3" s="33"/>
      <x:c r="F3" s="33"/>
      <x:c r="G3" s="33"/>
      <x:c r="H3" s="33"/>
      <x:c r="I3" s="33"/>
      <x:c r="J3" s="33"/>
    </x:row>
    <x:row r="4" ht="38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</x:row>
    <x:row r="6" ht="32" customHeight="1">
      <x:c r="A6" s="20" t="str">
        <x:v>类别</x:v>
      </x:c>
      <x:c r="B6" s="20" t="str">
        <x:v>供应商/场地</x:v>
      </x:c>
      <x:c r="C6" s="20" t="str">
        <x:v>联系人</x:v>
      </x:c>
      <x:c r="D6" s="20" t="str">
        <x:v>电话</x:v>
      </x:c>
      <x:c r="E6" s="20" t="str">
        <x:v>报价日期</x:v>
      </x:c>
      <x:c r="F6" s="20" t="str">
        <x:v>人数/房型</x:v>
      </x:c>
      <x:c r="G6" s="20" t="str">
        <x:v>报价总额</x:v>
      </x:c>
      <x:c r="H6" s="20" t="str">
        <x:v>已付金额</x:v>
      </x:c>
      <x:c r="I6" s="20" t="str">
        <x:v>状态</x:v>
      </x:c>
      <x:c r="J6" s="20" t="str">
        <x:v>关键条款/备注</x:v>
      </x:c>
    </x:row>
    <x:row r="7">
      <x:c r="A7" s="34"/>
      <x:c r="B7" s="34"/>
      <x:c r="C7" s="34"/>
      <x:c r="D7" s="34"/>
      <x:c r="E7" s="34"/>
      <x:c r="F7" s="34"/>
      <x:c r="G7" s="37"/>
      <x:c r="H7" s="37"/>
      <x:c r="I7" s="34"/>
      <x:c r="J7" s="34"/>
    </x:row>
    <x:row r="8">
      <x:c r="A8" s="34"/>
      <x:c r="B8" s="34"/>
      <x:c r="C8" s="34"/>
      <x:c r="D8" s="34"/>
      <x:c r="E8" s="34"/>
      <x:c r="F8" s="34"/>
      <x:c r="G8" s="37"/>
      <x:c r="H8" s="37"/>
      <x:c r="I8" s="34"/>
      <x:c r="J8" s="34"/>
    </x:row>
    <x:row r="9">
      <x:c r="A9" s="34"/>
      <x:c r="B9" s="34"/>
      <x:c r="C9" s="34"/>
      <x:c r="D9" s="34"/>
      <x:c r="E9" s="34"/>
      <x:c r="F9" s="34"/>
      <x:c r="G9" s="37"/>
      <x:c r="H9" s="37"/>
      <x:c r="I9" s="34"/>
      <x:c r="J9" s="34"/>
    </x:row>
    <x:row r="10">
      <x:c r="A10" s="34"/>
      <x:c r="B10" s="34"/>
      <x:c r="C10" s="34"/>
      <x:c r="D10" s="34"/>
      <x:c r="E10" s="34"/>
      <x:c r="F10" s="34"/>
      <x:c r="G10" s="37"/>
      <x:c r="H10" s="37"/>
      <x:c r="I10" s="34"/>
      <x:c r="J10" s="34"/>
    </x:row>
    <x:row r="11">
      <x:c r="A11" s="34"/>
      <x:c r="B11" s="34"/>
      <x:c r="C11" s="34"/>
      <x:c r="D11" s="34"/>
      <x:c r="E11" s="34"/>
      <x:c r="F11" s="34"/>
      <x:c r="G11" s="37"/>
      <x:c r="H11" s="37"/>
      <x:c r="I11" s="34"/>
      <x:c r="J11" s="34"/>
    </x:row>
    <x:row r="12">
      <x:c r="A12" s="34"/>
      <x:c r="B12" s="34"/>
      <x:c r="C12" s="34"/>
      <x:c r="D12" s="34"/>
      <x:c r="E12" s="34"/>
      <x:c r="F12" s="34"/>
      <x:c r="G12" s="37"/>
      <x:c r="H12" s="37"/>
      <x:c r="I12" s="34"/>
      <x:c r="J12" s="34"/>
    </x:row>
    <x:row r="13">
      <x:c r="A13" s="34"/>
      <x:c r="B13" s="34"/>
      <x:c r="C13" s="34"/>
      <x:c r="D13" s="34"/>
      <x:c r="E13" s="34"/>
      <x:c r="F13" s="34"/>
      <x:c r="G13" s="37"/>
      <x:c r="H13" s="37"/>
      <x:c r="I13" s="34"/>
      <x:c r="J13" s="34"/>
    </x:row>
    <x:row r="14">
      <x:c r="A14" s="34"/>
      <x:c r="B14" s="34"/>
      <x:c r="C14" s="34"/>
      <x:c r="D14" s="34"/>
      <x:c r="E14" s="34"/>
      <x:c r="F14" s="34"/>
      <x:c r="G14" s="37"/>
      <x:c r="H14" s="37"/>
      <x:c r="I14" s="34"/>
      <x:c r="J14" s="34"/>
    </x:row>
    <x:row r="15">
      <x:c r="A15" s="34"/>
      <x:c r="B15" s="34"/>
      <x:c r="C15" s="34"/>
      <x:c r="D15" s="34"/>
      <x:c r="E15" s="34"/>
      <x:c r="F15" s="34"/>
      <x:c r="G15" s="37"/>
      <x:c r="H15" s="37"/>
      <x:c r="I15" s="34"/>
      <x:c r="J15" s="34"/>
    </x:row>
    <x:row r="16">
      <x:c r="A16" s="34"/>
      <x:c r="B16" s="34"/>
      <x:c r="C16" s="34"/>
      <x:c r="D16" s="34"/>
      <x:c r="E16" s="34"/>
      <x:c r="F16" s="34"/>
      <x:c r="G16" s="37"/>
      <x:c r="H16" s="37"/>
      <x:c r="I16" s="34"/>
      <x:c r="J16" s="34"/>
    </x:row>
    <x:row r="17">
      <x:c r="A17" s="34"/>
      <x:c r="B17" s="34"/>
      <x:c r="C17" s="34"/>
      <x:c r="D17" s="34"/>
      <x:c r="E17" s="34"/>
      <x:c r="F17" s="34"/>
      <x:c r="G17" s="37"/>
      <x:c r="H17" s="37"/>
      <x:c r="I17" s="34"/>
      <x:c r="J17" s="34"/>
    </x:row>
    <x:row r="18">
      <x:c r="A18" s="34"/>
      <x:c r="B18" s="34"/>
      <x:c r="C18" s="34"/>
      <x:c r="D18" s="34"/>
      <x:c r="E18" s="34"/>
      <x:c r="F18" s="34"/>
      <x:c r="G18" s="37"/>
      <x:c r="H18" s="37"/>
      <x:c r="I18" s="34"/>
      <x:c r="J18" s="34"/>
    </x:row>
    <x:row r="19">
      <x:c r="A19" s="34"/>
      <x:c r="B19" s="34"/>
      <x:c r="C19" s="34"/>
      <x:c r="D19" s="34"/>
      <x:c r="E19" s="34"/>
      <x:c r="F19" s="34"/>
      <x:c r="G19" s="37"/>
      <x:c r="H19" s="37"/>
      <x:c r="I19" s="34"/>
      <x:c r="J19" s="34"/>
    </x:row>
    <x:row r="20">
      <x:c r="A20" s="34"/>
      <x:c r="B20" s="34"/>
      <x:c r="C20" s="34"/>
      <x:c r="D20" s="34"/>
      <x:c r="E20" s="34"/>
      <x:c r="F20" s="34"/>
      <x:c r="G20" s="37"/>
      <x:c r="H20" s="37"/>
      <x:c r="I20" s="34"/>
      <x:c r="J20" s="34"/>
    </x:row>
    <x:row r="21">
      <x:c r="A21" s="34"/>
      <x:c r="B21" s="34"/>
      <x:c r="C21" s="34"/>
      <x:c r="D21" s="34"/>
      <x:c r="E21" s="34"/>
      <x:c r="F21" s="34"/>
      <x:c r="G21" s="37"/>
      <x:c r="H21" s="37"/>
      <x:c r="I21" s="34"/>
      <x:c r="J21" s="34"/>
    </x:row>
    <x:row r="22">
      <x:c r="A22" s="34"/>
      <x:c r="B22" s="34"/>
      <x:c r="C22" s="34"/>
      <x:c r="D22" s="34"/>
      <x:c r="E22" s="34"/>
      <x:c r="F22" s="34"/>
      <x:c r="G22" s="37"/>
      <x:c r="H22" s="37"/>
      <x:c r="I22" s="34"/>
      <x:c r="J22" s="34"/>
    </x:row>
    <x:row r="23">
      <x:c r="A23" s="34"/>
      <x:c r="B23" s="34"/>
      <x:c r="C23" s="34"/>
      <x:c r="D23" s="34"/>
      <x:c r="E23" s="34"/>
      <x:c r="F23" s="34"/>
      <x:c r="G23" s="37"/>
      <x:c r="H23" s="37"/>
      <x:c r="I23" s="34"/>
      <x:c r="J23" s="34"/>
    </x:row>
    <x:row r="24">
      <x:c r="A24" s="34"/>
      <x:c r="B24" s="34"/>
      <x:c r="C24" s="34"/>
      <x:c r="D24" s="34"/>
      <x:c r="E24" s="34"/>
      <x:c r="F24" s="34"/>
      <x:c r="G24" s="37"/>
      <x:c r="H24" s="37"/>
      <x:c r="I24" s="34"/>
      <x:c r="J24" s="34"/>
    </x:row>
    <x:row r="25">
      <x:c r="A25" s="34"/>
      <x:c r="B25" s="34"/>
      <x:c r="C25" s="34"/>
      <x:c r="D25" s="34"/>
      <x:c r="E25" s="34"/>
      <x:c r="F25" s="34"/>
      <x:c r="G25" s="37"/>
      <x:c r="H25" s="37"/>
      <x:c r="I25" s="34"/>
      <x:c r="J25" s="34"/>
    </x:row>
    <x:row r="26">
      <x:c r="A26" s="34"/>
      <x:c r="B26" s="34"/>
      <x:c r="C26" s="34"/>
      <x:c r="D26" s="34"/>
      <x:c r="E26" s="34"/>
      <x:c r="F26" s="34"/>
      <x:c r="G26" s="37"/>
      <x:c r="H26" s="37"/>
      <x:c r="I26" s="34"/>
      <x:c r="J26" s="34"/>
    </x:row>
  </x:sheetData>
  <x:mergeCells>
    <x:mergeCell ref="A1:J1"/>
    <x:mergeCell ref="A3:J4"/>
  </x:mergeCells>
  <x:dataValidations count="20">
    <x:dataValidation type="list" sqref="I7">
      <x:formula1>"待询价,已报价,暂锁,已签约,淘汰"</x:formula1>
    </x:dataValidation>
    <x:dataValidation type="list" sqref="I8">
      <x:formula1>"待询价,已报价,暂锁,已签约,淘汰"</x:formula1>
    </x:dataValidation>
    <x:dataValidation type="list" sqref="I9">
      <x:formula1>"待询价,已报价,暂锁,已签约,淘汰"</x:formula1>
    </x:dataValidation>
    <x:dataValidation type="list" sqref="I10">
      <x:formula1>"待询价,已报价,暂锁,已签约,淘汰"</x:formula1>
    </x:dataValidation>
    <x:dataValidation type="list" sqref="I11">
      <x:formula1>"待询价,已报价,暂锁,已签约,淘汰"</x:formula1>
    </x:dataValidation>
    <x:dataValidation type="list" sqref="I12">
      <x:formula1>"待询价,已报价,暂锁,已签约,淘汰"</x:formula1>
    </x:dataValidation>
    <x:dataValidation type="list" sqref="I13">
      <x:formula1>"待询价,已报价,暂锁,已签约,淘汰"</x:formula1>
    </x:dataValidation>
    <x:dataValidation type="list" sqref="I14">
      <x:formula1>"待询价,已报价,暂锁,已签约,淘汰"</x:formula1>
    </x:dataValidation>
    <x:dataValidation type="list" sqref="I15">
      <x:formula1>"待询价,已报价,暂锁,已签约,淘汰"</x:formula1>
    </x:dataValidation>
    <x:dataValidation type="list" sqref="I16">
      <x:formula1>"待询价,已报价,暂锁,已签约,淘汰"</x:formula1>
    </x:dataValidation>
    <x:dataValidation type="list" sqref="I17">
      <x:formula1>"待询价,已报价,暂锁,已签约,淘汰"</x:formula1>
    </x:dataValidation>
    <x:dataValidation type="list" sqref="I18">
      <x:formula1>"待询价,已报价,暂锁,已签约,淘汰"</x:formula1>
    </x:dataValidation>
    <x:dataValidation type="list" sqref="I19">
      <x:formula1>"待询价,已报价,暂锁,已签约,淘汰"</x:formula1>
    </x:dataValidation>
    <x:dataValidation type="list" sqref="I20">
      <x:formula1>"待询价,已报价,暂锁,已签约,淘汰"</x:formula1>
    </x:dataValidation>
    <x:dataValidation type="list" sqref="I21">
      <x:formula1>"待询价,已报价,暂锁,已签约,淘汰"</x:formula1>
    </x:dataValidation>
    <x:dataValidation type="list" sqref="I22">
      <x:formula1>"待询价,已报价,暂锁,已签约,淘汰"</x:formula1>
    </x:dataValidation>
    <x:dataValidation type="list" sqref="I23">
      <x:formula1>"待询价,已报价,暂锁,已签约,淘汰"</x:formula1>
    </x:dataValidation>
    <x:dataValidation type="list" sqref="I24">
      <x:formula1>"待询价,已报价,暂锁,已签约,淘汰"</x:formula1>
    </x:dataValidation>
    <x:dataValidation type="list" sqref="I25">
      <x:formula1>"待询价,已报价,暂锁,已签约,淘汰"</x:formula1>
    </x:dataValidation>
    <x:dataValidation type="list" sqref="I26">
      <x:formula1>"待询价,已报价,暂锁,已签约,淘汰"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17" hidden="0" customWidth="1"/>
    <x:col min="5" max="5" width="15" hidden="0" customWidth="1"/>
    <x:col min="6" max="6" width="17" hidden="0" customWidth="1"/>
    <x:col min="7" max="7" width="25" hidden="0" customWidth="1"/>
    <x:col min="8" max="8" width="12" hidden="0" customWidth="1"/>
  </x:cols>
  <x:sheetData>
    <x:row r="1" ht="30" customHeight="1">
      <x:c r="A1" s="4" t="str">
        <x:v>华工毕业20周年聚会｜筹备总览</x:v>
      </x:c>
      <x:c r="B1" s="4"/>
      <x:c r="C1" s="4"/>
      <x:c r="D1" s="4"/>
      <x:c r="E1" s="4"/>
      <x:c r="F1" s="4"/>
      <x:c r="G1" s="4"/>
      <x:c r="H1" s="4"/>
    </x:row>
    <x:row r="3" ht="38" customHeight="1">
      <x:c r="A3" s="33" t="str">
        <x:v>先从“报名名单”和“预算”两个工作表开始填写。本页数据自动汇总，可在每周筹委会上投屏使用。</x:v>
      </x:c>
      <x:c r="B3" s="33"/>
      <x:c r="C3" s="33"/>
      <x:c r="D3" s="33"/>
      <x:c r="E3" s="33"/>
      <x:c r="F3" s="33"/>
      <x:c r="G3" s="33"/>
      <x:c r="H3" s="33"/>
    </x:row>
    <x:row r="4" ht="38" customHeight="1">
      <x:c r="A4" s="33"/>
      <x:c r="B4" s="33"/>
      <x:c r="C4" s="33"/>
      <x:c r="D4" s="33"/>
      <x:c r="E4" s="33"/>
      <x:c r="F4" s="33"/>
      <x:c r="G4" s="33"/>
      <x:c r="H4" s="33"/>
    </x:row>
    <x:row r="6" ht="22" customHeight="1">
      <x:c r="A6" s="7" t="str">
        <x:v>关键数据</x:v>
      </x:c>
      <x:c r="B6" s="7"/>
      <x:c r="C6" s="7"/>
      <x:c r="D6" s="7"/>
      <x:c r="E6" s="7"/>
      <x:c r="F6" s="7"/>
      <x:c r="G6" s="7"/>
      <x:c r="H6" s="7"/>
    </x:row>
    <x:row r="7">
      <x:c r="A7" s="43" t="str">
        <x:v>预计人数</x:v>
      </x:c>
      <x:c r="B7" s="46" t="n">
        <x:f>'预算'!B4</x:f>
        <x:v>40</x:v>
      </x:c>
      <x:c r="C7" s="43" t="str">
        <x:v>标准成本/人</x:v>
      </x:c>
      <x:c r="D7" s="46" t="n">
        <x:f>'预算'!B5</x:f>
        <x:v>845</x:v>
      </x:c>
    </x:row>
    <x:row r="8">
      <x:c r="A8" s="43" t="str">
        <x:v>已报名</x:v>
      </x:c>
      <x:c r="B8" s="46" t="n">
        <x:f>COUNTIF('报名名单'!G7:G86,"已报名")</x:f>
        <x:v>0</x:v>
      </x:c>
      <x:c r="C8" s="43" t="str">
        <x:v>预算总额</x:v>
      </x:c>
      <x:c r="D8" s="46" t="n">
        <x:f>'预算'!D19</x:f>
        <x:v>33800</x:v>
      </x:c>
    </x:row>
    <x:row r="9">
      <x:c r="A9" s="43" t="str">
        <x:v>候补</x:v>
      </x:c>
      <x:c r="B9" s="46" t="n">
        <x:f>COUNTIF('报名名单'!G7:G86,"候补")</x:f>
        <x:v>0</x:v>
      </x:c>
      <x:c r="C9" s="43" t="str">
        <x:v>实际支出</x:v>
      </x:c>
      <x:c r="D9" s="46" t="n">
        <x:f>'预算'!E19</x:f>
        <x:v>0</x:v>
      </x:c>
    </x:row>
    <x:row r="10">
      <x:c r="A10" s="43" t="str">
        <x:v>已收金额</x:v>
      </x:c>
      <x:c r="B10" s="46" t="n">
        <x:f>SUM('报名名单'!O7:O86)</x:f>
        <x:v>0</x:v>
      </x:c>
      <x:c r="C10" s="43" t="str">
        <x:v>预算差异</x:v>
      </x:c>
      <x:c r="D10" s="46" t="n">
        <x:f>'预算'!F19</x:f>
        <x:v>-33800</x:v>
      </x:c>
    </x:row>
    <x:row r="11">
      <x:c r="A11" s="43" t="str">
        <x:v>预计应收</x:v>
      </x:c>
      <x:c r="B11" s="46" t="n">
        <x:f>SUM('报名名单'!P7:P86)</x:f>
        <x:v>0</x:v>
      </x:c>
      <x:c r="C11" s="43" t="str">
        <x:v>活动日期</x:v>
      </x:c>
      <x:c r="D11" s="41" t="str">
        <x:v>2026-11-07—11-08</x:v>
      </x:c>
    </x:row>
    <x:row r="14" ht="22" customHeight="1">
      <x:c r="A14" s="7" t="str">
        <x:v>筹备角色</x:v>
      </x:c>
      <x:c r="B14" s="7"/>
      <x:c r="C14" s="7"/>
      <x:c r="D14" s="7"/>
      <x:c r="E14" s="7"/>
      <x:c r="F14" s="7"/>
      <x:c r="G14" s="7"/>
      <x:c r="H14" s="7"/>
    </x:row>
    <x:row r="15" ht="32" customHeight="1">
      <x:c r="A15" s="20" t="str">
        <x:v>角色</x:v>
      </x:c>
      <x:c r="B15" s="20" t="str">
        <x:v>姓名</x:v>
      </x:c>
      <x:c r="C15" s="20" t="str">
        <x:v>职责</x:v>
      </x:c>
      <x:c r="D15" s="20" t="str"/>
      <x:c r="E15" s="20" t="str">
        <x:v>角色</x:v>
      </x:c>
      <x:c r="F15" s="20" t="str">
        <x:v>姓名</x:v>
      </x:c>
      <x:c r="G15" s="20" t="str">
        <x:v>职责</x:v>
      </x:c>
      <x:c r="H15" s="20" t="str"/>
    </x:row>
    <x:row r="16">
      <x:c r="A16" s="24" t="str">
        <x:v>总协调</x:v>
      </x:c>
      <x:c r="B16" s="47" t="str"/>
      <x:c r="C16" s="24" t="str">
        <x:v>整体决策、老师邀请、时间控制</x:v>
      </x:c>
      <x:c r="D16" s="24" t="str"/>
      <x:c r="E16" s="24" t="str">
        <x:v>校方联络</x:v>
      </x:c>
      <x:c r="F16" s="47" t="str"/>
      <x:c r="G16" s="24" t="str">
        <x:v>学院、校友会、入校与场地</x:v>
      </x:c>
      <x:c r="H16" s="24" t="str"/>
    </x:row>
    <x:row r="17">
      <x:c r="A17" s="24" t="str">
        <x:v>报名住宿</x:v>
      </x:c>
      <x:c r="B17" s="47" t="str"/>
      <x:c r="C17" s="24" t="str">
        <x:v>报名、拼房、抵离、送站</x:v>
      </x:c>
      <x:c r="D17" s="24" t="str"/>
      <x:c r="E17" s="24" t="str">
        <x:v>财务</x:v>
      </x:c>
      <x:c r="F17" s="47" t="str"/>
      <x:c r="G17" s="24" t="str">
        <x:v>收款、付款、公开账目</x:v>
      </x:c>
      <x:c r="H17" s="24" t="str"/>
    </x:row>
    <x:row r="18">
      <x:c r="A18" s="24" t="str">
        <x:v>内容主持</x:v>
      </x:c>
      <x:c r="B18" s="47" t="str"/>
      <x:c r="C18" s="24" t="str">
        <x:v>班会脚本、PPT、互动</x:v>
      </x:c>
      <x:c r="D18" s="24" t="str"/>
      <x:c r="E18" s="24" t="str">
        <x:v>影像物料</x:v>
      </x:c>
      <x:c r="F18" s="47" t="str"/>
      <x:c r="G18" s="24" t="str">
        <x:v>摄影、视频、胸牌、纪念册</x:v>
      </x:c>
      <x:c r="H18" s="24" t="str"/>
    </x:row>
    <x:row r="19">
      <x:c r="A19" s="24" t="str">
        <x:v>现场安全</x:v>
      </x:c>
      <x:c r="B19" s="47" t="str"/>
      <x:c r="C19" s="24" t="str">
        <x:v>签到、动线、应急与雨天切换</x:v>
      </x:c>
      <x:c r="D19" s="24" t="str"/>
      <x:c r="E19" s="24" t="str">
        <x:v>志愿者协调</x:v>
      </x:c>
      <x:c r="F19" s="47" t="str"/>
      <x:c r="G19" s="24" t="str">
        <x:v>分组领队、物料分发</x:v>
      </x:c>
      <x:c r="H19" s="24" t="str"/>
    </x:row>
    <x:row r="20">
      <x:c r="A20" s="24" t="str"/>
      <x:c r="B20" s="47" t="str"/>
      <x:c r="C20" s="24" t="str"/>
      <x:c r="D20" s="24" t="str"/>
      <x:c r="E20" s="24" t="str"/>
      <x:c r="F20" s="47" t="str"/>
      <x:c r="G20" s="24" t="str"/>
      <x:c r="H20" s="24" t="str"/>
    </x:row>
    <x:row r="21">
      <x:c r="A21" s="24" t="str"/>
      <x:c r="B21" s="47" t="str"/>
      <x:c r="C21" s="24" t="str"/>
      <x:c r="D21" s="24" t="str"/>
      <x:c r="E21" s="24" t="str"/>
      <x:c r="F21" s="47" t="str"/>
      <x:c r="G21" s="24" t="str"/>
      <x:c r="H21" s="24" t="str"/>
    </x:row>
    <x:row r="22">
      <x:c r="A22" s="24" t="str"/>
      <x:c r="B22" s="47" t="str"/>
      <x:c r="C22" s="24" t="str"/>
      <x:c r="D22" s="24" t="str"/>
      <x:c r="E22" s="24" t="str"/>
      <x:c r="F22" s="47" t="str"/>
      <x:c r="G22" s="24" t="str"/>
      <x:c r="H22" s="24" t="str"/>
    </x:row>
    <x:row r="24" ht="22" customHeight="1">
      <x:c r="A24" s="7" t="str">
        <x:v>官方确认提醒</x:v>
      </x:c>
      <x:c r="B24" s="7"/>
      <x:c r="C24" s="7"/>
      <x:c r="D24" s="7"/>
      <x:c r="E24" s="7"/>
      <x:c r="F24" s="7"/>
      <x:c r="G24" s="7"/>
      <x:c r="H24" s="7"/>
    </x:row>
    <x:row r="25">
      <x:c r="A25" s="50" t="str">
        <x:v>请以校方最终批复为准：校友返校场地、团体参观、校史馆、人员和车辆入校。团体活动建议由学院/校友会统一协调，不以个人预约替代。相关规则和联系信息已列在Word执行方案中。</x:v>
      </x:c>
      <x:c r="B25" s="50"/>
      <x:c r="C25" s="50"/>
      <x:c r="D25" s="50"/>
      <x:c r="E25" s="50"/>
      <x:c r="F25" s="50"/>
      <x:c r="G25" s="50"/>
      <x:c r="H25" s="50"/>
    </x:row>
    <x:row r="26">
      <x:c r="A26" s="50"/>
      <x:c r="B26" s="50"/>
      <x:c r="C26" s="50"/>
      <x:c r="D26" s="50"/>
      <x:c r="E26" s="50"/>
      <x:c r="F26" s="50"/>
      <x:c r="G26" s="50"/>
      <x:c r="H26" s="50"/>
    </x:row>
    <x:row r="27">
      <x:c r="A27" s="50"/>
      <x:c r="B27" s="50"/>
      <x:c r="C27" s="50"/>
      <x:c r="D27" s="50"/>
      <x:c r="E27" s="50"/>
      <x:c r="F27" s="50"/>
      <x:c r="G27" s="50"/>
      <x:c r="H27" s="50"/>
    </x:row>
    <x:row r="28">
      <x:c r="A28" s="50"/>
      <x:c r="B28" s="50"/>
      <x:c r="C28" s="50"/>
      <x:c r="D28" s="50"/>
      <x:c r="E28" s="50"/>
      <x:c r="F28" s="50"/>
      <x:c r="G28" s="50"/>
      <x:c r="H28" s="50"/>
    </x:row>
  </x:sheetData>
  <x:mergeCells>
    <x:mergeCell ref="A1:H1"/>
    <x:mergeCell ref="A3:H4"/>
    <x:mergeCell ref="A6:H6"/>
    <x:mergeCell ref="A14:H14"/>
    <x:mergeCell ref="A24:H24"/>
    <x:mergeCell ref="A25:H28"/>
  </x:mergeCells>
  <x:pageMargins left="0.7" right="0.7" top="0.75" bottom="0.75" header="0.3" footer="0.3"/>
</x:worksheet>
</file>